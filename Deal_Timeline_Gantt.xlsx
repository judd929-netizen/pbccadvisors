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"/>
  </numFmts>
  <fonts count="11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5A6472"/>
      <sz val="9"/>
    </font>
    <font>
      <name val="Arial"/>
      <b val="1"/>
      <color rgb="002E6DB4"/>
      <sz val="9"/>
    </font>
    <font>
      <name val="Arial"/>
      <b val="1"/>
      <color rgb="0016406E"/>
      <sz val="9"/>
    </font>
    <font>
      <name val="Arial"/>
      <b val="1"/>
      <color rgb="00E8A33D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1F3A5F"/>
      <sz val="10"/>
    </font>
    <font>
      <name val="Arial"/>
      <color rgb="00000000"/>
      <sz val="10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5" fontId="7" fillId="2" borderId="1" applyAlignment="1" pivotButton="0" quotePrefix="0" xfId="0">
      <alignment horizontal="center" vertical="center" textRotation="90"/>
    </xf>
    <xf numFmtId="0" fontId="8" fillId="3" borderId="1" pivotButton="0" quotePrefix="0" xfId="0"/>
    <xf numFmtId="0" fontId="0" fillId="3" borderId="1" pivotButton="0" quotePrefix="0" xfId="0"/>
    <xf numFmtId="0" fontId="9" fillId="0" borderId="1" pivotButton="0" quotePrefix="0" xfId="0"/>
    <xf numFmtId="0" fontId="2" fillId="0" borderId="1" pivotButton="0" quotePrefix="0" xfId="0"/>
    <xf numFmtId="165" fontId="10" fillId="0" borderId="1" pivotButton="0" quotePrefix="0" xfId="0"/>
    <xf numFmtId="0" fontId="10" fillId="0" borderId="1" applyAlignment="1" pivotButton="0" quotePrefix="0" xfId="0">
      <alignment horizontal="center"/>
    </xf>
    <xf numFmtId="9" fontId="10" fillId="0" borderId="1" applyAlignment="1" pivotButton="0" quotePrefix="0" xfId="0">
      <alignment horizontal="center"/>
    </xf>
    <xf numFmtId="0" fontId="0" fillId="0" borderId="1" pivotButton="0" quotePrefix="0" xfId="0"/>
    <xf numFmtId="0" fontId="8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16406E"/>
        </patternFill>
      </fill>
    </dxf>
    <dxf>
      <fill>
        <patternFill patternType="solid">
          <fgColor rgb="002E6DB4"/>
        </patternFill>
      </fill>
    </dxf>
    <dxf>
      <fill>
        <patternFill patternType="solid">
          <fgColor rgb="00FBEBD4"/>
        </patternFill>
      </fill>
    </dxf>
    <dxf>
      <fill>
        <patternFill patternType="solid">
          <fgColor rgb="00E8A3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9" customWidth="1" min="3" max="3"/>
    <col width="9" customWidth="1" min="4" max="4"/>
    <col width="6" customWidth="1" min="5" max="5"/>
    <col width="7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</cols>
  <sheetData>
    <row r="1">
      <c r="A1" s="1" t="inlineStr">
        <is>
          <t>Deal Timeline — Gantt Tracker</t>
        </is>
      </c>
    </row>
    <row r="2">
      <c r="A2" s="2" t="inlineStr">
        <is>
          <t>PBG Capital Advisors  ·  edit Start / End / % Complete and the bars redraw automatically</t>
        </is>
      </c>
    </row>
    <row r="3">
      <c r="A3" s="3" t="inlineStr">
        <is>
          <t>■ Planned</t>
        </is>
      </c>
      <c r="C3" s="4" t="inlineStr">
        <is>
          <t>■ Completed</t>
        </is>
      </c>
      <c r="E3" s="5" t="inlineStr">
        <is>
          <t>▮ This week</t>
        </is>
      </c>
    </row>
    <row r="5" ht="46" customHeight="1">
      <c r="A5" s="6" t="inlineStr">
        <is>
          <t>Task</t>
        </is>
      </c>
      <c r="B5" s="6" t="inlineStr">
        <is>
          <t>Owner</t>
        </is>
      </c>
      <c r="C5" s="6" t="inlineStr">
        <is>
          <t>Start</t>
        </is>
      </c>
      <c r="D5" s="6" t="inlineStr">
        <is>
          <t>End</t>
        </is>
      </c>
      <c r="E5" s="6" t="inlineStr">
        <is>
          <t>Days</t>
        </is>
      </c>
      <c r="F5" s="6" t="inlineStr">
        <is>
          <t>% Done</t>
        </is>
      </c>
      <c r="G5" s="7" t="n">
        <v>46237</v>
      </c>
      <c r="H5" s="7" t="n">
        <v>46244</v>
      </c>
      <c r="I5" s="7" t="n">
        <v>46251</v>
      </c>
      <c r="J5" s="7" t="n">
        <v>46258</v>
      </c>
      <c r="K5" s="7" t="n">
        <v>46265</v>
      </c>
      <c r="L5" s="7" t="n">
        <v>46272</v>
      </c>
      <c r="M5" s="7" t="n">
        <v>46279</v>
      </c>
      <c r="N5" s="7" t="n">
        <v>46286</v>
      </c>
      <c r="O5" s="7" t="n">
        <v>46293</v>
      </c>
      <c r="P5" s="7" t="n">
        <v>46300</v>
      </c>
      <c r="Q5" s="7" t="n">
        <v>46307</v>
      </c>
      <c r="R5" s="7" t="n">
        <v>46314</v>
      </c>
      <c r="S5" s="7" t="n">
        <v>46321</v>
      </c>
      <c r="T5" s="7" t="n">
        <v>46328</v>
      </c>
      <c r="U5" s="7" t="n">
        <v>46335</v>
      </c>
      <c r="V5" s="7" t="n">
        <v>46342</v>
      </c>
      <c r="W5" s="7" t="n">
        <v>46349</v>
      </c>
      <c r="X5" s="7" t="n">
        <v>46356</v>
      </c>
      <c r="Y5" s="7" t="n">
        <v>46363</v>
      </c>
      <c r="Z5" s="7" t="n">
        <v>46370</v>
      </c>
    </row>
    <row r="6">
      <c r="A6" s="8" t="inlineStr">
        <is>
          <t>Phase 1 - Engagement &amp; Preparation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10" t="inlineStr">
        <is>
          <t xml:space="preserve">   Sign engagement letter</t>
        </is>
      </c>
      <c r="B7" s="11" t="inlineStr">
        <is>
          <t>PBG / Client</t>
        </is>
      </c>
      <c r="C7" s="12" t="n">
        <v>46237</v>
      </c>
      <c r="D7" s="12" t="n">
        <v>46241</v>
      </c>
      <c r="E7" s="13">
        <f>NETWORKDAYS(C7,D7)</f>
        <v/>
      </c>
      <c r="F7" s="14" t="n">
        <v>1</v>
      </c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>
      <c r="A8" s="10" t="inlineStr">
        <is>
          <t xml:space="preserve">   Financial data collection &amp; QoE</t>
        </is>
      </c>
      <c r="B8" s="11" t="inlineStr">
        <is>
          <t>Client / PBG</t>
        </is>
      </c>
      <c r="C8" s="12" t="n">
        <v>46237</v>
      </c>
      <c r="D8" s="12" t="n">
        <v>46255</v>
      </c>
      <c r="E8" s="13">
        <f>NETWORKDAYS(C8,D8)</f>
        <v/>
      </c>
      <c r="F8" s="14" t="n">
        <v>0.6</v>
      </c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>
      <c r="A9" s="10" t="inlineStr">
        <is>
          <t xml:space="preserve">   Build financial model</t>
        </is>
      </c>
      <c r="B9" s="11" t="inlineStr">
        <is>
          <t>PBG</t>
        </is>
      </c>
      <c r="C9" s="12" t="n">
        <v>46244</v>
      </c>
      <c r="D9" s="12" t="n">
        <v>46262</v>
      </c>
      <c r="E9" s="13">
        <f>NETWORKDAYS(C9,D9)</f>
        <v/>
      </c>
      <c r="F9" s="14" t="n">
        <v>0.4</v>
      </c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0" t="inlineStr">
        <is>
          <t xml:space="preserve">   Draft CIM &amp; marketing materials</t>
        </is>
      </c>
      <c r="B10" s="11" t="inlineStr">
        <is>
          <t>PBG</t>
        </is>
      </c>
      <c r="C10" s="12" t="n">
        <v>46251</v>
      </c>
      <c r="D10" s="12" t="n">
        <v>46269</v>
      </c>
      <c r="E10" s="13">
        <f>NETWORKDAYS(C10,D10)</f>
        <v/>
      </c>
      <c r="F10" s="14" t="n">
        <v>0.15</v>
      </c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8" t="inlineStr">
        <is>
          <t>Phase 2 - Marketing &amp; Outreach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10" t="inlineStr">
        <is>
          <t xml:space="preserve">   Finalize buyer / lender list</t>
        </is>
      </c>
      <c r="B12" s="11" t="inlineStr">
        <is>
          <t>PBG / Client</t>
        </is>
      </c>
      <c r="C12" s="12" t="n">
        <v>46258</v>
      </c>
      <c r="D12" s="12" t="n">
        <v>46269</v>
      </c>
      <c r="E12" s="13">
        <f>NETWORKDAYS(C12,D12)</f>
        <v/>
      </c>
      <c r="F12" s="14" t="n">
        <v>0</v>
      </c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0" t="inlineStr">
        <is>
          <t xml:space="preserve">   Distribute teaser &amp; NDAs</t>
        </is>
      </c>
      <c r="B13" s="11" t="inlineStr">
        <is>
          <t>PBG</t>
        </is>
      </c>
      <c r="C13" s="12" t="n">
        <v>46265</v>
      </c>
      <c r="D13" s="12" t="n">
        <v>46283</v>
      </c>
      <c r="E13" s="13">
        <f>NETWORKDAYS(C13,D13)</f>
        <v/>
      </c>
      <c r="F13" s="14" t="n">
        <v>0</v>
      </c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0" t="inlineStr">
        <is>
          <t xml:space="preserve">   Distribute CIM to signed parties</t>
        </is>
      </c>
      <c r="B14" s="11" t="inlineStr">
        <is>
          <t>PBG</t>
        </is>
      </c>
      <c r="C14" s="12" t="n">
        <v>46272</v>
      </c>
      <c r="D14" s="12" t="n">
        <v>46290</v>
      </c>
      <c r="E14" s="13">
        <f>NETWORKDAYS(C14,D14)</f>
        <v/>
      </c>
      <c r="F14" s="14" t="n">
        <v>0</v>
      </c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0" t="inlineStr">
        <is>
          <t xml:space="preserve">   Management presentations</t>
        </is>
      </c>
      <c r="B15" s="11" t="inlineStr">
        <is>
          <t>PBG / Client</t>
        </is>
      </c>
      <c r="C15" s="12" t="n">
        <v>46279</v>
      </c>
      <c r="D15" s="12" t="n">
        <v>46297</v>
      </c>
      <c r="E15" s="13">
        <f>NETWORKDAYS(C15,D15)</f>
        <v/>
      </c>
      <c r="F15" s="14" t="n">
        <v>0</v>
      </c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8" t="inlineStr">
        <is>
          <t>Phase 3 - Bids &amp; Negotiation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10" t="inlineStr">
        <is>
          <t xml:space="preserve">   Receive IOIs / term sheets</t>
        </is>
      </c>
      <c r="B17" s="11" t="inlineStr">
        <is>
          <t>Buyers</t>
        </is>
      </c>
      <c r="C17" s="12" t="n">
        <v>46293</v>
      </c>
      <c r="D17" s="12" t="n">
        <v>46304</v>
      </c>
      <c r="E17" s="13">
        <f>NETWORKDAYS(C17,D17)</f>
        <v/>
      </c>
      <c r="F17" s="14" t="n">
        <v>0</v>
      </c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</row>
    <row r="18">
      <c r="A18" s="10" t="inlineStr">
        <is>
          <t xml:space="preserve">   Evaluate &amp; shortlist</t>
        </is>
      </c>
      <c r="B18" s="11" t="inlineStr">
        <is>
          <t>PBG / Client</t>
        </is>
      </c>
      <c r="C18" s="12" t="n">
        <v>46300</v>
      </c>
      <c r="D18" s="12" t="n">
        <v>46311</v>
      </c>
      <c r="E18" s="13">
        <f>NETWORKDAYS(C18,D18)</f>
        <v/>
      </c>
      <c r="F18" s="14" t="n">
        <v>0</v>
      </c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</row>
    <row r="19">
      <c r="A19" s="10" t="inlineStr">
        <is>
          <t xml:space="preserve">   Negotiate &amp; sign LOI</t>
        </is>
      </c>
      <c r="B19" s="11" t="inlineStr">
        <is>
          <t>PBG / Legal</t>
        </is>
      </c>
      <c r="C19" s="12" t="n">
        <v>46307</v>
      </c>
      <c r="D19" s="12" t="n">
        <v>46325</v>
      </c>
      <c r="E19" s="13">
        <f>NETWORKDAYS(C19,D19)</f>
        <v/>
      </c>
      <c r="F19" s="14" t="n">
        <v>0</v>
      </c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</row>
    <row r="20">
      <c r="A20" s="8" t="inlineStr">
        <is>
          <t>Phase 4 - Diligence &amp; Documentation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>
      <c r="A21" s="10" t="inlineStr">
        <is>
          <t xml:space="preserve">   Buyer due diligence</t>
        </is>
      </c>
      <c r="B21" s="11" t="inlineStr">
        <is>
          <t>Buyer / Client</t>
        </is>
      </c>
      <c r="C21" s="12" t="n">
        <v>46321</v>
      </c>
      <c r="D21" s="12" t="n">
        <v>46353</v>
      </c>
      <c r="E21" s="13">
        <f>NETWORKDAYS(C21,D21)</f>
        <v/>
      </c>
      <c r="F21" s="14" t="n">
        <v>0</v>
      </c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>
      <c r="A22" s="10" t="inlineStr">
        <is>
          <t xml:space="preserve">   Draft definitive agreements</t>
        </is>
      </c>
      <c r="B22" s="11" t="inlineStr">
        <is>
          <t>Legal</t>
        </is>
      </c>
      <c r="C22" s="12" t="n">
        <v>46328</v>
      </c>
      <c r="D22" s="12" t="n">
        <v>46353</v>
      </c>
      <c r="E22" s="13">
        <f>NETWORKDAYS(C22,D22)</f>
        <v/>
      </c>
      <c r="F22" s="14" t="n">
        <v>0</v>
      </c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</row>
    <row r="23">
      <c r="A23" s="10" t="inlineStr">
        <is>
          <t xml:space="preserve">   Negotiate purchase agreement</t>
        </is>
      </c>
      <c r="B23" s="11" t="inlineStr">
        <is>
          <t>PBG / Legal</t>
        </is>
      </c>
      <c r="C23" s="12" t="n">
        <v>46335</v>
      </c>
      <c r="D23" s="12" t="n">
        <v>46360</v>
      </c>
      <c r="E23" s="13">
        <f>NETWORKDAYS(C23,D23)</f>
        <v/>
      </c>
      <c r="F23" s="14" t="n">
        <v>0</v>
      </c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</row>
    <row r="24">
      <c r="A24" s="8" t="inlineStr">
        <is>
          <t>Phase 5 - Closing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>
      <c r="A25" s="10" t="inlineStr">
        <is>
          <t xml:space="preserve">   Final approvals &amp; funding</t>
        </is>
      </c>
      <c r="B25" s="11" t="inlineStr">
        <is>
          <t>All parties</t>
        </is>
      </c>
      <c r="C25" s="12" t="n">
        <v>46349</v>
      </c>
      <c r="D25" s="12" t="n">
        <v>46367</v>
      </c>
      <c r="E25" s="13">
        <f>NETWORKDAYS(C25,D25)</f>
        <v/>
      </c>
      <c r="F25" s="14" t="n">
        <v>0</v>
      </c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</row>
    <row r="26">
      <c r="A26" s="10" t="inlineStr">
        <is>
          <t xml:space="preserve">   Sign &amp; close</t>
        </is>
      </c>
      <c r="B26" s="11" t="inlineStr">
        <is>
          <t>All parties</t>
        </is>
      </c>
      <c r="C26" s="12" t="n">
        <v>46363</v>
      </c>
      <c r="D26" s="12" t="n">
        <v>46374</v>
      </c>
      <c r="E26" s="13">
        <f>NETWORKDAYS(C26,D26)</f>
        <v/>
      </c>
      <c r="F26" s="14" t="n">
        <v>0</v>
      </c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</row>
    <row r="28">
      <c r="A28" s="16" t="inlineStr">
        <is>
          <t>How to use</t>
        </is>
      </c>
    </row>
    <row r="29">
      <c r="A29" s="2" t="inlineStr">
        <is>
          <t>• Edit the Start and End dates (cols C–D) — the blue bars redraw automatically.</t>
        </is>
      </c>
    </row>
    <row r="30">
      <c r="A30" s="2" t="inlineStr">
        <is>
          <t>• Set % Done (col F) — the darker segment fills the completed portion of each bar.</t>
        </is>
      </c>
    </row>
    <row r="31">
      <c r="A31" s="2" t="inlineStr">
        <is>
          <t>• The amber column marks the week containing today's date (updates live via TODAY()).</t>
        </is>
      </c>
    </row>
    <row r="32">
      <c r="A32" s="2" t="inlineStr">
        <is>
          <t>• Add a task: insert a row, type the name/owner/dates; bars appear with no extra setup.</t>
        </is>
      </c>
    </row>
    <row r="33">
      <c r="A33" s="2" t="inlineStr">
        <is>
          <t>• Extend the timeline: the grid runs Aug 03 to Dec 14 (20 weeks).</t>
        </is>
      </c>
    </row>
  </sheetData>
  <conditionalFormatting sqref="G6:Z26">
    <cfRule type="expression" priority="1" dxfId="0" stopIfTrue="1">
      <formula>AND($C6&lt;&gt;"",G$5+4&gt;=$C6,G$5&lt;=$D6,G$5&lt;=$C6+($D6-$C6)*$F6)</formula>
    </cfRule>
    <cfRule type="expression" priority="2" dxfId="1">
      <formula>AND($C6&lt;&gt;"",G$5+4&gt;=$C6,G$5&lt;=$D6)</formula>
    </cfRule>
    <cfRule type="expression" priority="4" dxfId="2">
      <formula>AND(TODAY()&gt;=G$5,TODAY()&lt;G$5+7)</formula>
    </cfRule>
  </conditionalFormatting>
  <conditionalFormatting sqref="G5:Z5">
    <cfRule type="expression" priority="3" dxfId="3" stopIfTrue="1">
      <formula>AND(TODAY()&gt;=G5,TODAY()&lt;G5+7)</formula>
    </cfRule>
  </conditionalFormatting>
  <conditionalFormatting sqref="F6:F26">
    <cfRule type="dataBar" priority="5">
      <dataBar showValue="1">
        <cfvo type="num" val="0"/>
        <cfvo type="num" val="1"/>
        <color rgb="002E6DB4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2026-08-02T23:17:58Z</dcterms:created>
  <dcterms:modified xmlns:dcterms="http://purl.org/dc/terms/" xmlns:xsi="http://www.w3.org/2001/XMLSchema-instance" xsi:type="dcterms:W3CDTF">2026-08-02T23:17:58Z</dcterms:modified>
</cp:coreProperties>
</file>